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6520616d2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daf2a56868f4873"/>
    <x:sheet xmlns:r="http://schemas.openxmlformats.org/officeDocument/2006/relationships" name="Patients" sheetId="2" r:id="R61742e71a9484d88"/>
    <x:sheet xmlns:r="http://schemas.openxmlformats.org/officeDocument/2006/relationships" name="Locations" sheetId="3" r:id="R0f30f8bbbfce4a47"/>
    <x:sheet xmlns:r="http://schemas.openxmlformats.org/officeDocument/2006/relationships" name="InterventionOptions" sheetId="4" r:id="R86d6444d6c174279"/>
    <x:sheet xmlns:r="http://schemas.openxmlformats.org/officeDocument/2006/relationships" name="Interventions" sheetId="5" r:id="R64ece465235845ae"/>
    <x:sheet xmlns:r="http://schemas.openxmlformats.org/officeDocument/2006/relationships" name="MedicationOptions" sheetId="6" r:id="Rd3feae92d421400a"/>
    <x:sheet xmlns:r="http://schemas.openxmlformats.org/officeDocument/2006/relationships" name="MedicationAdministrations" sheetId="7" r:id="Ra667402d458b4935"/>
    <x:sheet xmlns:r="http://schemas.openxmlformats.org/officeDocument/2006/relationships" name="Questions" sheetId="8" r:id="R6f5da5671dad4516"/>
    <x:sheet xmlns:r="http://schemas.openxmlformats.org/officeDocument/2006/relationships" name="Labs" sheetId="9" r:id="R527ebc3b90bd441b"/>
    <x:sheet xmlns:r="http://schemas.openxmlformats.org/officeDocument/2006/relationships" name="Imaging" sheetId="10" r:id="Rcdc27f3595084e20"/>
    <x:sheet xmlns:r="http://schemas.openxmlformats.org/officeDocument/2006/relationships" name="Notes" sheetId="11" r:id="R5b3a9b2dac3c4606"/>
    <x:sheet xmlns:r="http://schemas.openxmlformats.org/officeDocument/2006/relationships" name="Orders" sheetId="12" r:id="R70891447842a4584"/>
    <x:sheet xmlns:r="http://schemas.openxmlformats.org/officeDocument/2006/relationships" name="Vitals" sheetId="13" r:id="R12a6fcded5784d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10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123A63"/>
      <x:name val="Carlito"/>
    </x:font>
    <x:font>
      <x:sz val="10"/>
      <x:color rgb="FF1F2937"/>
      <x:name val="Aptos"/>
    </x:font>
    <x:font>
      <x:b/>
      <x:sz val="10"/>
      <x:color rgb="FF1F2937"/>
      <x:name val="Aptos"/>
    </x:font>
    <x:font>
      <x:b/>
      <x:sz val="18"/>
      <x:color rgb="FFFFFFFF"/>
      <x:name val="Aptos Display"/>
    </x:font>
    <x:font>
      <x:sz val="11"/>
      <x:color rgb="FF34405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A63"/>
      </x:patternFill>
    </x:fill>
    <x:fill>
      <x:patternFill patternType="solid">
        <x:fgColor rgb="FFFFF4CC"/>
      </x:patternFill>
    </x:fill>
    <x:fill>
      <x:patternFill patternType="solid">
        <x:fgColor rgb="FFEAF3FA"/>
      </x:patternFill>
    </x:fill>
    <x:fill>
      <x:patternFill patternType="solid">
        <x:fgColor rgb="FF1667A8"/>
      </x:patternFill>
    </x:fill>
    <x:fill>
      <x:patternFill patternType="solid">
        <x:fgColor rgb="FF123A63"/>
      </x:patternFill>
    </x:fill>
    <x:fill>
      <x:patternFill patternType="solid">
        <x:fgColor rgb="FFFFF2CC"/>
      </x:patternFill>
    </x:fill>
  </x:fills>
  <x:borders count="17">
    <x:border/>
    <x:border>
      <x:left style="medium">
        <x:color rgb="FF123A63"/>
      </x:left>
      <x:top style="medium">
        <x:color rgb="FF123A63"/>
      </x:top>
      <x:bottom style="medium">
        <x:color rgb="FF123A63"/>
      </x:bottom>
    </x:border>
    <x:border>
      <x:top style="medium">
        <x:color rgb="FF123A63"/>
      </x:top>
      <x:bottom style="medium">
        <x:color rgb="FF123A63"/>
      </x:bottom>
    </x:border>
    <x:border>
      <x:right style="medium">
        <x:color rgb="FF123A63"/>
      </x:right>
      <x:top style="medium">
        <x:color rgb="FF123A63"/>
      </x:top>
      <x:bottom style="medium">
        <x:color rgb="FF123A63"/>
      </x:bottom>
    </x:border>
    <x:border>
      <x:right style="thin">
        <x:color rgb="FFC9D7E5"/>
      </x:right>
    </x:border>
    <x:border>
      <x:left style="thin">
        <x:color rgb="FFC9D7E5"/>
      </x:left>
      <x:right style="thin">
        <x:color rgb="FFC9D7E5"/>
      </x:right>
    </x:border>
    <x:border>
      <x:left style="thin">
        <x:color rgb="FFC9D7E5"/>
      </x:left>
    </x:border>
    <x:border>
      <x:right style="thin">
        <x:color rgb="FFC9D7E5"/>
      </x:right>
      <x:bottom style="thin">
        <x:color rgb="FFC9D7E5"/>
      </x:bottom>
    </x:border>
    <x:border>
      <x:left style="thin">
        <x:color rgb="FFC9D7E5"/>
      </x:left>
      <x:right style="thin">
        <x:color rgb="FFC9D7E5"/>
      </x:right>
      <x:bottom style="thin">
        <x:color rgb="FFC9D7E5"/>
      </x:bottom>
    </x:border>
    <x:border>
      <x:left style="thin">
        <x:color rgb="FFC9D7E5"/>
      </x:left>
      <x:bottom style="thin">
        <x:color rgb="FFC9D7E5"/>
      </x:bottom>
    </x:border>
    <x:border>
      <x:right style="thin">
        <x:color rgb="FFC9D7E5"/>
      </x:right>
      <x:top style="thin">
        <x:color rgb="FFC9D7E5"/>
      </x:top>
    </x:border>
    <x:border>
      <x:left style="thin">
        <x:color rgb="FFC9D7E5"/>
      </x:left>
      <x:right style="thin">
        <x:color rgb="FFC9D7E5"/>
      </x:right>
      <x:top style="thin">
        <x:color rgb="FFC9D7E5"/>
      </x:top>
    </x:border>
    <x:border>
      <x:left style="thin">
        <x:color rgb="FFC9D7E5"/>
      </x:left>
      <x:top style="thin">
        <x:color rgb="FFC9D7E5"/>
      </x:top>
    </x:border>
    <x:border>
      <x:right style="thin">
        <x:color rgb="FFC9D7E5"/>
      </x:right>
      <x:top style="thin">
        <x:color rgb="FFC9D7E5"/>
      </x:top>
      <x:bottom style="thin">
        <x:color rgb="FFC9D7E5"/>
      </x:bottom>
    </x:border>
    <x:border>
      <x:left style="thin">
        <x:color rgb="FFC9D7E5"/>
      </x:left>
      <x:right style="thin">
        <x:color rgb="FFC9D7E5"/>
      </x:right>
      <x:top style="thin">
        <x:color rgb="FFC9D7E5"/>
      </x:top>
      <x:bottom style="thin">
        <x:color rgb="FFC9D7E5"/>
      </x:bottom>
    </x:border>
    <x:border>
      <x:left style="thin">
        <x:color rgb="FFC9D7E5"/>
      </x:left>
      <x:top style="thin">
        <x:color rgb="FFC9D7E5"/>
      </x:top>
      <x:bottom style="thin">
        <x:color rgb="FFC9D7E5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14" xfId="0" applyNumberFormat="1" applyFont="1" applyFill="1" applyBorder="1"/>
    <x:xf numFmtId="0" fontId="0" fillId="0" borderId="11" xfId="0" applyNumberFormat="1" applyFont="1" applyFill="1" applyBorder="1"/>
    <x:xf numFmtId="0" fontId="5" fillId="4" borderId="0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5" borderId="0" xfId="0" applyNumberFormat="1" applyFont="1" applyFill="1" applyBorder="1"/>
    <x:xf numFmtId="0" fontId="6" fillId="0" borderId="7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3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0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7" fillId="4" borderId="0" xfId="0" applyNumberFormat="1" applyFont="1" applyFill="1" applyBorder="1"/>
    <x:xf numFmtId="0" fontId="6" fillId="0" borderId="8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6" xfId="0" applyNumberFormat="1" applyFont="1" applyFill="1" applyBorder="1"/>
    <x:xf numFmtId="200" fontId="9" fillId="7" borderId="16" xfId="0" applyNumberFormat="1" applyFont="1" applyFill="1" applyBorder="1"/>
    <x:xf numFmtId="201" fontId="9" fillId="7" borderId="16" xfId="0" applyNumberFormat="1" applyFont="1" applyFill="1" applyBorder="1"/>
  </x:cellXfs>
  <x:cellStyles count="1">
    <x:cellStyle name="Normal" xfId="0"/>
  </x:cellStyles>
  <x:dxfs count="5">
    <x:dxf>
      <x:font>
        <x:color rgb="FF166534"/>
      </x:font>
      <x:fill>
        <x:patternFill>
          <x:bgColor rgb="FFE8F5E9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088e7530c4e8d" /><Relationship Type="http://schemas.openxmlformats.org/officeDocument/2006/relationships/theme" Target="/xl/theme/theme1.xml" Id="Rc5df81624bc54342" /><Relationship Type="http://schemas.openxmlformats.org/officeDocument/2006/relationships/sharedStrings" Target="/xl/sharedStrings.xml" Id="Ra594ca55baf24a69" /><Relationship Type="http://schemas.openxmlformats.org/officeDocument/2006/relationships/worksheet" Target="/xl/worksheets/sheet1.xml" Id="R8daf2a56868f4873" /><Relationship Type="http://schemas.openxmlformats.org/officeDocument/2006/relationships/worksheet" Target="/xl/worksheets/sheet2.xml" Id="R61742e71a9484d88" /><Relationship Type="http://schemas.openxmlformats.org/officeDocument/2006/relationships/worksheet" Target="/xl/worksheets/sheet3.xml" Id="R0f30f8bbbfce4a47" /><Relationship Type="http://schemas.openxmlformats.org/officeDocument/2006/relationships/worksheet" Target="/xl/worksheets/sheet4.xml" Id="R86d6444d6c174279" /><Relationship Type="http://schemas.openxmlformats.org/officeDocument/2006/relationships/worksheet" Target="/xl/worksheets/sheet5.xml" Id="R64ece465235845ae" /><Relationship Type="http://schemas.openxmlformats.org/officeDocument/2006/relationships/worksheet" Target="/xl/worksheets/sheet6.xml" Id="Rd3feae92d421400a" /><Relationship Type="http://schemas.openxmlformats.org/officeDocument/2006/relationships/worksheet" Target="/xl/worksheets/sheet7.xml" Id="Ra667402d458b4935" /><Relationship Type="http://schemas.openxmlformats.org/officeDocument/2006/relationships/worksheet" Target="/xl/worksheets/sheet8.xml" Id="R6f5da5671dad4516" /><Relationship Type="http://schemas.openxmlformats.org/officeDocument/2006/relationships/worksheet" Target="/xl/worksheets/sheet9.xml" Id="R527ebc3b90bd441b" /><Relationship Type="http://schemas.openxmlformats.org/officeDocument/2006/relationships/worksheet" Target="/xl/worksheets/sheet10.xml" Id="Rcdc27f3595084e20" /><Relationship Type="http://schemas.openxmlformats.org/officeDocument/2006/relationships/worksheet" Target="/xl/worksheets/sheet11.xml" Id="R5b3a9b2dac3c4606" /><Relationship Type="http://schemas.openxmlformats.org/officeDocument/2006/relationships/worksheet" Target="/xl/worksheets/sheet12.xml" Id="R70891447842a4584" /><Relationship Type="http://schemas.openxmlformats.org/officeDocument/2006/relationships/worksheet" Target="/xl/worksheets/sheet13.xml" Id="R12a6fcded5784ddf" /></Relationships>
</file>

<file path=xl/tables/table1.xml><?xml version="1.0" encoding="utf-8"?>
<x:table xmlns:x="http://schemas.openxmlformats.org/spreadsheetml/2006/main" id="1" name="RussiCaptorTable1" displayName="RussiCaptorTable1" ref="A1:L2" headerRowCount="1" totalsRowCount="0" totalsRowShown="0">
  <x:tableColumns count="12">
    <x:tableColumn id="1" name="ExerciseId"/>
    <x:tableColumn id="2" name="PatientId"/>
    <x:tableColumn id="3" name="NationalId"/>
    <x:tableColumn id="4" name="Name"/>
    <x:tableColumn id="5" name="Triage"/>
    <x:tableColumn id="6" name="Status"/>
    <x:tableColumn id="7" name="Location"/>
    <x:tableColumn id="8" name="LastSeen"/>
    <x:tableColumn id="9" name="MistMechanism"/>
    <x:tableColumn id="10" name="MistInjuries"/>
    <x:tableColumn id="11" name="MistSigns"/>
    <x:tableColumn id="12" name="MistTreat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ssiCaptorTable2" displayName="RussiCaptorTable2" ref="A1:G3" headerRowCount="1" totalsRowCount="0" totalsRowShown="0">
  <x:tableColumns count="7">
    <x:tableColumn id="1" name="ExerciseId"/>
    <x:tableColumn id="2" name="LocationId"/>
    <x:tableColumn id="3" name="Code"/>
    <x:tableColumn id="4" name="Name"/>
    <x:tableColumn id="5" name="Building"/>
    <x:tableColumn id="6" name="Floor"/>
    <x:tableColumn id="7" name="Visi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ssiCaptorTable3" displayName="RussiCaptorTable3" ref="A1:F3" headerRowCount="1" totalsRowCount="0" totalsRowShown="0">
  <x:tableColumns count="6">
    <x:tableColumn id="1" name="ExerciseId"/>
    <x:tableColumn id="2" name="PatientId"/>
    <x:tableColumn id="3" name="OptionId"/>
    <x:tableColumn id="4" name="Type"/>
    <x:tableColumn id="5" name="Label"/>
    <x:tableColumn id="6" name="Visibil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ssiCaptorTable5" displayName="RussiCaptorTable5" ref="A1:G3" headerRowCount="1" totalsRowCount="0" totalsRowShown="0">
  <x:tableColumns count="7">
    <x:tableColumn id="1" name="ExerciseId"/>
    <x:tableColumn id="2" name="PatientId"/>
    <x:tableColumn id="3" name="OptionId"/>
    <x:tableColumn id="4" name="Name"/>
    <x:tableColumn id="5" name="Dose"/>
    <x:tableColumn id="6" name="Route"/>
    <x:tableColumn id="7" name="Visibil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ssiCaptorTable7" displayName="RussiCaptorTable7" ref="A1:H4" headerRowCount="1" totalsRowCount="0" totalsRowShown="0">
  <x:tableColumns count="8">
    <x:tableColumn id="1" name="ExerciseId"/>
    <x:tableColumn id="2" name="PatientId"/>
    <x:tableColumn id="3" name="QuestionId"/>
    <x:tableColumn id="4" name="Category"/>
    <x:tableColumn id="5" name="Order"/>
    <x:tableColumn id="6" name="Prompt"/>
    <x:tableColumn id="7" name="Answer"/>
    <x:tableColumn id="8" name="Visibil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ussiCaptorTable8" displayName="RussiCaptorTable8" ref="A1:K4" headerRowCount="1" totalsRowCount="0" totalsRowShown="0">
  <x:tableColumns count="11">
    <x:tableColumn id="1" name="ExerciseId"/>
    <x:tableColumn id="2" name="PatientId"/>
    <x:tableColumn id="3" name="LabId"/>
    <x:tableColumn id="4" name="Panel"/>
    <x:tableColumn id="5" name="Name"/>
    <x:tableColumn id="6" name="Value"/>
    <x:tableColumn id="7" name="Unit"/>
    <x:tableColumn id="8" name="ReferenceRange"/>
    <x:tableColumn id="9" name="Status"/>
    <x:tableColumn id="10" name="Visibility"/>
    <x:tableColumn id="11" name="ReleasedA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ussiCaptorTable9" displayName="RussiCaptorTable9" ref="A1:J3" headerRowCount="1" totalsRowCount="0" totalsRowShown="0">
  <x:tableColumns count="10">
    <x:tableColumn id="1" name="ExerciseId"/>
    <x:tableColumn id="2" name="PatientId"/>
    <x:tableColumn id="3" name="ImagingId"/>
    <x:tableColumn id="4" name="Modality"/>
    <x:tableColumn id="5" name="Title"/>
    <x:tableColumn id="6" name="Report"/>
    <x:tableColumn id="7" name="Attachment"/>
    <x:tableColumn id="8" name="Status"/>
    <x:tableColumn id="9" name="ImageVisibility"/>
    <x:tableColumn id="10" name="ReportVisibil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ssiCaptorTable11" displayName="RussiCaptorTable11" ref="A1:N5" headerRowCount="1" totalsRowCount="0" totalsRowShown="0">
  <x:tableColumns count="14">
    <x:tableColumn id="1" name="ExerciseId"/>
    <x:tableColumn id="2" name="PatientId"/>
    <x:tableColumn id="3" name="OrderId"/>
    <x:tableColumn id="4" name="Type"/>
    <x:tableColumn id="5" name="Name"/>
    <x:tableColumn id="6" name="Status"/>
    <x:tableColumn id="7" name="ResultAction"/>
    <x:tableColumn id="8" name="ResultTargetId"/>
    <x:tableColumn id="9" name="DelayMinutes"/>
    <x:tableColumn id="10" name="ResultTitle"/>
    <x:tableColumn id="11" name="ResultDescription"/>
    <x:tableColumn id="12" name="RequestedBy"/>
    <x:tableColumn id="13" name="CreatedAt"/>
    <x:tableColumn id="14" name="CompletedA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italsTable" displayName="VitalsTable" ref="A1:Q3" headerRowCount="1" totalsRowCount="0" totalsRowShown="0">
  <x:tableColumns count="17">
    <x:tableColumn id="1" name="ExerciseId"/>
    <x:tableColumn id="2" name="PatientId"/>
    <x:tableColumn id="3" name="VitalId"/>
    <x:tableColumn id="4" name="ExerciseMinute"/>
    <x:tableColumn id="5" name="RecordedAt"/>
    <x:tableColumn id="6" name="RecordedBy"/>
    <x:tableColumn id="7" name="Source"/>
    <x:tableColumn id="8" name="HeartRate"/>
    <x:tableColumn id="9" name="SystolicBP"/>
    <x:tableColumn id="10" name="DiastolicBP"/>
    <x:tableColumn id="11" name="RespiratoryRate"/>
    <x:tableColumn id="12" name="SpO2"/>
    <x:tableColumn id="13" name="Temperature"/>
    <x:tableColumn id="14" name="GCS"/>
    <x:tableColumn id="15" name="BloodGlucose"/>
    <x:tableColumn id="16" name="EtCO2"/>
    <x:tableColumn id="17" name="Pain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59a48248904d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19800df88144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402807e30e44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6a8ee6bbd2b47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0a2188d26ce141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b00115d3325a40c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6c14b04f22fb4b8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8c42fdc6c0af4b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7ae0e58a232d40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27" hidden="0" customWidth="1"/>
    <x:col min="5" max="5" width="16" hidden="0" customWidth="1"/>
    <x:col min="6" max="6" width="27" hidden="0" customWidth="1"/>
  </x:cols>
  <x:sheetData>
    <x:row r="1" ht="42" customHeight="1">
      <x:c r="A1" s="107" t="str">
        <x:v>RussiCaptor – harjutuse Exceli mall</x:v>
      </x:c>
      <x:c r="B1" s="107"/>
      <x:c r="C1" s="107"/>
      <x:c r="D1" s="107"/>
      <x:c r="E1" s="107"/>
      <x:c r="F1" s="107"/>
    </x:row>
    <x:row r="3" ht="48" customHeight="1">
      <x:c r="A3" s="85" t="str">
        <x:v>Üks töövihik kirjeldab ühte harjutust. Ära muuda andmelehtede nimesid ega veerupäiseid. Kollased lahtrid on näidisandmed, mida võib muuta või kopeerida.</x:v>
      </x:c>
      <x:c r="B3" s="85"/>
      <x:c r="C3" s="85"/>
      <x:c r="D3" s="85"/>
      <x:c r="E3" s="85"/>
      <x:c r="F3" s="85"/>
    </x:row>
    <x:row r="4">
      <x:c r="A4" s="86"/>
      <x:c r="B4" s="86"/>
      <x:c r="C4" s="86"/>
      <x:c r="D4" s="86"/>
      <x:c r="E4" s="86"/>
      <x:c r="F4" s="86"/>
    </x:row>
    <x:row r="5">
      <x:c r="A5" s="87" t="str">
        <x:v>Tööjärjekord</x:v>
      </x:c>
      <x:c r="B5" s="87" t="str">
        <x:v>Kirjeldus</x:v>
      </x:c>
      <x:c r="C5" s="86"/>
      <x:c r="D5" s="87" t="str">
        <x:v>Kontroll</x:v>
      </x:c>
      <x:c r="E5" s="87" t="str">
        <x:v>Ridu</x:v>
      </x:c>
      <x:c r="F5" s="87" t="str">
        <x:v>Olek</x:v>
      </x:c>
    </x:row>
    <x:row r="6">
      <x:c r="A6" s="88" t="str">
        <x:v>1</x:v>
      </x:c>
      <x:c r="B6" s="89" t="str">
        <x:v>Sisesta patsiendid lehele Patients.</x:v>
      </x:c>
      <x:c r="C6" s="86"/>
      <x:c r="D6" s="90" t="str">
        <x:v>Patients</x:v>
      </x:c>
      <x:c r="E6" s="91" t="n">
        <x:f>SUMPRODUCT(--('Patients'!A2:A200&lt;&gt;""))</x:f>
        <x:v>1</x:v>
      </x:c>
      <x:c r="F6" s="92" t="str">
        <x:f>IF(E6=0,"Tühi","Andmed olemas")</x:f>
        <x:v>Andmed olemas</x:v>
      </x:c>
    </x:row>
    <x:row r="7">
      <x:c r="A7" s="93" t="str">
        <x:v>2</x:v>
      </x:c>
      <x:c r="B7" s="94" t="str">
        <x:v>Määra patsiendile nähtavad tegevused ja ravimid lehtedel InterventionOptions ja MedicationOptions.</x:v>
      </x:c>
      <x:c r="C7" s="86"/>
      <x:c r="D7" s="95" t="str">
        <x:v>Locations</x:v>
      </x:c>
      <x:c r="E7" s="96" t="n">
        <x:f>SUMPRODUCT(--('Locations'!A2:A200&lt;&gt;""))</x:f>
        <x:v>2</x:v>
      </x:c>
      <x:c r="F7" s="97" t="str">
        <x:f>IF(E7=0,"Tühi","Andmed olemas")</x:f>
        <x:v>Andmed olemas</x:v>
      </x:c>
    </x:row>
    <x:row r="8">
      <x:c r="A8" s="93" t="str">
        <x:v>3</x:v>
      </x:c>
      <x:c r="B8" s="94" t="str">
        <x:v>Lisa elulised näitajad, küsimused, analüüsid, uuringud ja tellimused vastavatele lehtedele.</x:v>
      </x:c>
      <x:c r="C8" s="86"/>
      <x:c r="D8" s="95" t="str">
        <x:v>InterventionOptions</x:v>
      </x:c>
      <x:c r="E8" s="96" t="n">
        <x:f>SUMPRODUCT(--('InterventionOptions'!A2:A200&lt;&gt;""))</x:f>
        <x:v>2</x:v>
      </x:c>
      <x:c r="F8" s="97" t="str">
        <x:f>IF(E8=0,"Tühi","Andmed olemas")</x:f>
        <x:v>Andmed olemas</x:v>
      </x:c>
    </x:row>
    <x:row r="9">
      <x:c r="A9" s="93" t="str">
        <x:v>4</x:v>
      </x:c>
      <x:c r="B9" s="94" t="str">
        <x:v>Lisa asukohad ning prinditavad QR-väärtused lehele Locations.</x:v>
      </x:c>
      <x:c r="C9" s="86"/>
      <x:c r="D9" s="95" t="str">
        <x:v>Interventions</x:v>
      </x:c>
      <x:c r="E9" s="96" t="n">
        <x:f>SUMPRODUCT(--('Interventions'!A2:A200&lt;&gt;""))</x:f>
        <x:v>0</x:v>
      </x:c>
      <x:c r="F9" s="97" t="str">
        <x:f>IF(E9=0,"Tühi","Andmed olemas")</x:f>
        <x:v>Tühi</x:v>
      </x:c>
    </x:row>
    <x:row r="10">
      <x:c r="A10" s="98" t="str">
        <x:v>5</x:v>
      </x:c>
      <x:c r="B10" s="99" t="str">
        <x:v>Jäta Interventions, MedicationAdministrations ja Notes alguses tühjaks – need täidab rakendus töö käigus.</x:v>
      </x:c>
      <x:c r="C10" s="86"/>
      <x:c r="D10" s="95" t="str">
        <x:v>MedicationOptions</x:v>
      </x:c>
      <x:c r="E10" s="96" t="n">
        <x:f>SUMPRODUCT(--('MedicationOptions'!A2:A200&lt;&gt;""))</x:f>
        <x:v>2</x:v>
      </x:c>
      <x:c r="F10" s="97" t="str">
        <x:f>IF(E10=0,"Tühi","Andmed olemas")</x:f>
        <x:v>Andmed olemas</x:v>
      </x:c>
    </x:row>
    <x:row r="11">
      <x:c r="A11" s="86"/>
      <x:c r="B11" s="86"/>
      <x:c r="C11" s="86"/>
      <x:c r="D11" s="95" t="str">
        <x:v>MedicationAdministrations</x:v>
      </x:c>
      <x:c r="E11" s="96" t="n">
        <x:f>SUMPRODUCT(--('MedicationAdministrations'!A2:A200&lt;&gt;""))</x:f>
        <x:v>0</x:v>
      </x:c>
      <x:c r="F11" s="97" t="str">
        <x:f>IF(E11=0,"Tühi","Andmed olemas")</x:f>
        <x:v>Tühi</x:v>
      </x:c>
    </x:row>
    <x:row r="12">
      <x:c r="A12" s="86"/>
      <x:c r="B12" s="86"/>
      <x:c r="C12" s="86"/>
      <x:c r="D12" s="95" t="str">
        <x:v>Questions</x:v>
      </x:c>
      <x:c r="E12" s="96" t="n">
        <x:f>SUMPRODUCT(--('Questions'!A2:A200&lt;&gt;""))</x:f>
        <x:v>3</x:v>
      </x:c>
      <x:c r="F12" s="97" t="str">
        <x:f>IF(E12=0,"Tühi","Andmed olemas")</x:f>
        <x:v>Andmed olemas</x:v>
      </x:c>
    </x:row>
    <x:row r="13">
      <x:c r="A13" s="86"/>
      <x:c r="B13" s="86"/>
      <x:c r="C13" s="86"/>
      <x:c r="D13" s="95" t="str">
        <x:v>Labs</x:v>
      </x:c>
      <x:c r="E13" s="96" t="n">
        <x:f>SUMPRODUCT(--('Labs'!A2:A200&lt;&gt;""))</x:f>
        <x:v>3</x:v>
      </x:c>
      <x:c r="F13" s="97" t="str">
        <x:f>IF(E13=0,"Tühi","Andmed olemas")</x:f>
        <x:v>Andmed olemas</x:v>
      </x:c>
    </x:row>
    <x:row r="14">
      <x:c r="A14" s="86"/>
      <x:c r="B14" s="86"/>
      <x:c r="C14" s="86"/>
      <x:c r="D14" s="95" t="str">
        <x:v>Imaging</x:v>
      </x:c>
      <x:c r="E14" s="96" t="n">
        <x:f>SUMPRODUCT(--('Imaging'!A2:A200&lt;&gt;""))</x:f>
        <x:v>2</x:v>
      </x:c>
      <x:c r="F14" s="97" t="str">
        <x:f>IF(E14=0,"Tühi","Andmed olemas")</x:f>
        <x:v>Andmed olemas</x:v>
      </x:c>
    </x:row>
    <x:row r="15">
      <x:c r="A15" s="86"/>
      <x:c r="B15" s="86"/>
      <x:c r="C15" s="86"/>
      <x:c r="D15" s="95" t="str">
        <x:v>Notes</x:v>
      </x:c>
      <x:c r="E15" s="96" t="n">
        <x:f>SUMPRODUCT(--('Notes'!A2:A200&lt;&gt;""))</x:f>
        <x:v>0</x:v>
      </x:c>
      <x:c r="F15" s="97" t="str">
        <x:f>IF(E15=0,"Tühi","Andmed olemas")</x:f>
        <x:v>Tühi</x:v>
      </x:c>
    </x:row>
    <x:row r="16">
      <x:c r="A16" s="86"/>
      <x:c r="B16" s="86"/>
      <x:c r="C16" s="86"/>
      <x:c r="D16" s="100" t="str">
        <x:v>Orders</x:v>
      </x:c>
      <x:c r="E16" s="101" t="n">
        <x:f>SUMPRODUCT(--('Orders'!A2:A200&lt;&gt;""))</x:f>
        <x:v>4</x:v>
      </x:c>
      <x:c r="F16" s="102" t="str">
        <x:f>IF(E16=0,"Tühi","Andmed olemas")</x:f>
        <x:v>Andmed olemas</x:v>
      </x:c>
    </x:row>
    <x:row r="17">
      <x:c r="A17" s="86"/>
      <x:c r="B17" s="86"/>
      <x:c r="C17" s="86"/>
      <x:c r="D17" s="86" t="str">
        <x:v>Vitals</x:v>
      </x:c>
      <x:c r="E17" s="86" t="n">
        <x:f>SUMPRODUCT(--('Vitals'!A2:A200&lt;&gt;""))</x:f>
        <x:v>2</x:v>
      </x:c>
      <x:c r="F17" s="86" t="str">
        <x:f>IF(E17=0,"Tühi","Andmed olemas")</x:f>
        <x:v>Andmed olemas</x:v>
      </x:c>
    </x:row>
    <x:row r="18">
      <x:c r="A18" s="86"/>
      <x:c r="B18" s="86"/>
      <x:c r="C18" s="86"/>
      <x:c r="D18" s="86"/>
      <x:c r="E18" s="86"/>
      <x:c r="F18" s="86"/>
    </x:row>
    <x:row r="19">
      <x:c r="A19" s="103" t="str">
        <x:v>Koodiväärtused</x:v>
      </x:c>
      <x:c r="B19" s="103"/>
      <x:c r="C19" s="103"/>
      <x:c r="D19" s="103"/>
      <x:c r="E19" s="103"/>
      <x:c r="F19" s="103"/>
    </x:row>
    <x:row r="20">
      <x:c r="A20" s="88" t="str">
        <x:v>Triage</x:v>
      </x:c>
      <x:c r="B20" s="104" t="str">
        <x:v>P1 / P2 / P3 / P4</x:v>
      </x:c>
      <x:c r="C20" s="104" t="str">
        <x:v>Visibility</x:v>
      </x:c>
      <x:c r="D20" s="104" t="str">
        <x:v>hidden / available / revealed</x:v>
      </x:c>
      <x:c r="E20" s="104" t="str">
        <x:v>Location visibility</x:v>
      </x:c>
      <x:c r="F20" s="89" t="str">
        <x:v>hidden / available</x:v>
      </x:c>
    </x:row>
    <x:row r="21">
      <x:c r="A21" s="93" t="str">
        <x:v>Patient Status</x:v>
      </x:c>
      <x:c r="B21" s="105" t="str">
        <x:v>Active / Incoming / Transferred / Completed</x:v>
      </x:c>
      <x:c r="C21" s="105" t="str">
        <x:v>Intervention Type</x:v>
      </x:c>
      <x:c r="D21" s="105" t="str">
        <x:v>cpr / airway / defibrillation / iv_access</x:v>
      </x:c>
      <x:c r="E21" s="105" t="str">
        <x:v>Order Type</x:v>
      </x:c>
      <x:c r="F21" s="94" t="str">
        <x:v>lab / imaging / medication / consultation / blood</x:v>
      </x:c>
    </x:row>
    <x:row r="22">
      <x:c r="A22" s="93" t="str">
        <x:v>Lab/Imaging Status</x:v>
      </x:c>
      <x:c r="B22" s="105" t="str">
        <x:v>processing / available / viewed</x:v>
      </x:c>
      <x:c r="C22" s="105" t="str">
        <x:v>ResultAction</x:v>
      </x:c>
      <x:c r="D22" s="105" t="str">
        <x:v>lab.available / imaging.available</x:v>
      </x:c>
      <x:c r="E22" s="105" t="str">
        <x:v>Imaging Modality</x:v>
      </x:c>
      <x:c r="F22" s="94" t="str">
        <x:v>XR / CT / US / ECG / OTHER</x:v>
      </x:c>
    </x:row>
    <x:row r="23">
      <x:c r="A23" s="98" t="str">
        <x:v>QR patient</x:v>
      </x:c>
      <x:c r="B23" s="106" t="str">
        <x:v>PATIENT:38701032343</x:v>
      </x:c>
      <x:c r="C23" s="106" t="str">
        <x:v>QR location</x:v>
      </x:c>
      <x:c r="D23" s="106" t="str">
        <x:v>LOCATION:LOC-ICU-2</x:v>
      </x:c>
      <x:c r="E23" s="106" t="str">
        <x:v>ExerciseId</x:v>
      </x:c>
      <x:c r="F23" s="99" t="str">
        <x:v>Sama väärtus kõigil lehtedel</x:v>
      </x:c>
    </x:row>
  </x:sheetData>
  <x:mergeCells>
    <x:mergeCell ref="A1:F1"/>
    <x:mergeCell ref="A3:F3"/>
    <x:mergeCell ref="A19:F19"/>
  </x:mergeCells>
  <x:conditionalFormatting sqref="F6:F16">
    <x:cfRule type="containsText" dxfId="0" priority="1" operator="containsText" text="Andmed olema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22" hidden="0" customWidth="1"/>
    <x:col min="5" max="5" width="15" hidden="0" customWidth="1"/>
    <x:col min="6" max="6" width="15" hidden="0" customWidth="1"/>
    <x:col min="7" max="7" width="22" hidden="0" customWidth="1"/>
    <x:col min="8" max="8" width="15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42" customHeight="1">
      <x:c r="A1" s="9" t="str">
        <x:v>ExerciseId</x:v>
      </x:c>
      <x:c r="B1" s="10" t="str">
        <x:v>PatientId</x:v>
      </x:c>
      <x:c r="C1" s="10" t="str">
        <x:v>NationalId</x:v>
      </x:c>
      <x:c r="D1" s="10" t="str">
        <x:v>Name</x:v>
      </x:c>
      <x:c r="E1" s="10" t="str">
        <x:v>Triage</x:v>
      </x:c>
      <x:c r="F1" s="10" t="str">
        <x:v>Status</x:v>
      </x:c>
      <x:c r="G1" s="10" t="str">
        <x:v>Location</x:v>
      </x:c>
      <x:c r="H1" s="10" t="str">
        <x:v>LastSeen</x:v>
      </x:c>
      <x:c r="I1" s="10" t="str">
        <x:v>MistMechanism</x:v>
      </x:c>
      <x:c r="J1" s="10" t="str">
        <x:v>MistInjuries</x:v>
      </x:c>
      <x:c r="K1" s="10" t="str">
        <x:v>MistSigns</x:v>
      </x:c>
      <x:c r="L1" s="11" t="str">
        <x:v>MistTreatment</x:v>
      </x:c>
    </x:row>
    <x:row r="2" ht="48" customHeight="1">
      <x:c r="A2" s="20" t="str">
        <x:v>demo</x:v>
      </x:c>
      <x:c r="B2" s="21" t="str">
        <x:v>PT-001</x:v>
      </x:c>
      <x:c r="C2" s="21" t="str">
        <x:v>38701032343</x:v>
      </x:c>
      <x:c r="D2" s="21" t="str">
        <x:v>Jüri Kask</x:v>
      </x:c>
      <x:c r="E2" s="21" t="str">
        <x:v>P2</x:v>
      </x:c>
      <x:c r="F2" s="21" t="str">
        <x:v>Active</x:v>
      </x:c>
      <x:c r="G2" s="21" t="str">
        <x:v>EMO triaaž</x:v>
      </x:c>
      <x:c r="H2" s="21" t="str">
        <x:v>09:22</x:v>
      </x:c>
      <x:c r="I2" s="21" t="str">
        <x:v>Haigestus kodus, saabus EMO-sse omal jalal.</x:v>
      </x:c>
      <x:c r="J2" s="21" t="str">
        <x:v>Nägemishäire, nõrkus, neelamisel ebamugavus.</x:v>
      </x:c>
      <x:c r="K2" s="21" t="str">
        <x:v>RR 138/82, HR 92, SpO₂ 97%, GCS 15.</x:v>
      </x:c>
      <x:c r="L2" s="22" t="str">
        <x:v>Ravi veel puudub.</x:v>
      </x:c>
    </x:row>
  </x:sheetData>
  <x:dataValidations count="2">
    <x:dataValidation type="list" sqref="E2:E200">
      <x:formula1>"P1,P2,P3,P4"</x:formula1>
    </x:dataValidation>
    <x:dataValidation type="list" sqref="F2:F200">
      <x:formula1>"Active,Incoming,Transferred,Completed"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59a48248904d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22" hidden="0" customWidth="1"/>
    <x:col min="5" max="5" width="15" hidden="0" customWidth="1"/>
    <x:col min="6" max="6" width="12" hidden="0" customWidth="1"/>
    <x:col min="7" max="7" width="15" hidden="0" customWidth="1"/>
  </x:cols>
  <x:sheetData>
    <x:row r="1" ht="42" customHeight="1">
      <x:c r="A1" s="9" t="str">
        <x:v>ExerciseId</x:v>
      </x:c>
      <x:c r="B1" s="10" t="str">
        <x:v>LocationId</x:v>
      </x:c>
      <x:c r="C1" s="10" t="str">
        <x:v>Code</x:v>
      </x:c>
      <x:c r="D1" s="10" t="str">
        <x:v>Name</x:v>
      </x:c>
      <x:c r="E1" s="10" t="str">
        <x:v>Building</x:v>
      </x:c>
      <x:c r="F1" s="10" t="str">
        <x:v>Floor</x:v>
      </x:c>
      <x:c r="G1" s="11" t="str">
        <x:v>Visibility</x:v>
      </x:c>
    </x:row>
    <x:row r="2">
      <x:c r="A2" s="35" t="str">
        <x:v>demo</x:v>
      </x:c>
      <x:c r="B2" s="36" t="str">
        <x:v>LOC-001</x:v>
      </x:c>
      <x:c r="C2" s="36" t="str">
        <x:v>LOC-EMO-TRIAGE</x:v>
      </x:c>
      <x:c r="D2" s="36" t="str">
        <x:v>EMO triaaž</x:v>
      </x:c>
      <x:c r="E2" s="36" t="str">
        <x:v>Haigla</x:v>
      </x:c>
      <x:c r="F2" s="36" t="str">
        <x:v>1</x:v>
      </x:c>
      <x:c r="G2" s="37" t="str">
        <x:v>available</x:v>
      </x:c>
    </x:row>
    <x:row r="3">
      <x:c r="A3" s="38" t="str">
        <x:v>demo</x:v>
      </x:c>
      <x:c r="B3" s="39" t="str">
        <x:v>LOC-002</x:v>
      </x:c>
      <x:c r="C3" s="39" t="str">
        <x:v>LOC-ICU-2</x:v>
      </x:c>
      <x:c r="D3" s="39" t="str">
        <x:v>Intensiivravi</x:v>
      </x:c>
      <x:c r="E3" s="39" t="str">
        <x:v>Haigla</x:v>
      </x:c>
      <x:c r="F3" s="39" t="str">
        <x:v>2</x:v>
      </x:c>
      <x:c r="G3" s="40" t="str">
        <x:v>available</x:v>
      </x:c>
    </x:row>
  </x:sheetData>
  <x:dataValidations count="1">
    <x:dataValidation type="list" sqref="G2:G200">
      <x:formula1>"hidden,available"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19800df88144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</x:cols>
  <x:sheetData>
    <x:row r="1" ht="42" customHeight="1">
      <x:c r="A1" s="9" t="str">
        <x:v>ExerciseId</x:v>
      </x:c>
      <x:c r="B1" s="10" t="str">
        <x:v>PatientId</x:v>
      </x:c>
      <x:c r="C1" s="10" t="str">
        <x:v>OptionId</x:v>
      </x:c>
      <x:c r="D1" s="10" t="str">
        <x:v>Type</x:v>
      </x:c>
      <x:c r="E1" s="10" t="str">
        <x:v>Label</x:v>
      </x:c>
      <x:c r="F1" s="11" t="str">
        <x:v>Visibility</x:v>
      </x:c>
    </x:row>
    <x:row r="2">
      <x:c r="A2" s="35" t="str">
        <x:v>demo</x:v>
      </x:c>
      <x:c r="B2" s="36" t="str">
        <x:v>PT-001</x:v>
      </x:c>
      <x:c r="C2" s="36" t="str">
        <x:v>INTOPT-001</x:v>
      </x:c>
      <x:c r="D2" s="36" t="str">
        <x:v>airway</x:v>
      </x:c>
      <x:c r="E2" s="36" t="str">
        <x:v>Hingamistee tagamine</x:v>
      </x:c>
      <x:c r="F2" s="37" t="str">
        <x:v>available</x:v>
      </x:c>
    </x:row>
    <x:row r="3">
      <x:c r="A3" s="38" t="str">
        <x:v>demo</x:v>
      </x:c>
      <x:c r="B3" s="39" t="str">
        <x:v>PT-001</x:v>
      </x:c>
      <x:c r="C3" s="39" t="str">
        <x:v>INTOPT-002</x:v>
      </x:c>
      <x:c r="D3" s="39" t="str">
        <x:v>iv_access</x:v>
      </x:c>
      <x:c r="E3" s="39" t="str">
        <x:v>Veenitee rajamine</x:v>
      </x:c>
      <x:c r="F3" s="40" t="str">
        <x:v>available</x:v>
      </x:c>
    </x:row>
  </x:sheetData>
  <x:dataValidations count="2">
    <x:dataValidation type="list" sqref="D2:D200">
      <x:formula1>"cpr,airway,defibrillation,iv_access"</x:formula1>
    </x:dataValidation>
    <x:dataValidation type="list" sqref="F2:F200">
      <x:formula1>"hidden,available,revealed"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402807e30e44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42" customHeight="1">
      <x:c r="A1" s="9" t="str">
        <x:v>ExerciseId</x:v>
      </x:c>
      <x:c r="B1" s="10" t="str">
        <x:v>PatientId</x:v>
      </x:c>
      <x:c r="C1" s="10" t="str">
        <x:v>InterventionId</x:v>
      </x:c>
      <x:c r="D1" s="10" t="str">
        <x:v>Type</x:v>
      </x:c>
      <x:c r="E1" s="10" t="str">
        <x:v>Label</x:v>
      </x:c>
      <x:c r="F1" s="10" t="str">
        <x:v>Status</x:v>
      </x:c>
      <x:c r="G1" s="10" t="str">
        <x:v>PerformedBy</x:v>
      </x:c>
      <x:c r="H1" s="11" t="str">
        <x:v>PerformedAt</x:v>
      </x:c>
    </x:row>
  </x:sheetData>
  <x:dataValidations count="2">
    <x:dataValidation type="list" sqref="D2:D200">
      <x:formula1>"cpr,airway,defibrillation,iv_access"</x:formula1>
    </x:dataValidation>
    <x:dataValidation type="list" sqref="F2:F200">
      <x:formula1>"completed"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42" customHeight="1">
      <x:c r="A1" s="9" t="str">
        <x:v>ExerciseId</x:v>
      </x:c>
      <x:c r="B1" s="10" t="str">
        <x:v>PatientId</x:v>
      </x:c>
      <x:c r="C1" s="10" t="str">
        <x:v>OptionId</x:v>
      </x:c>
      <x:c r="D1" s="10" t="str">
        <x:v>Name</x:v>
      </x:c>
      <x:c r="E1" s="10" t="str">
        <x:v>Dose</x:v>
      </x:c>
      <x:c r="F1" s="10" t="str">
        <x:v>Route</x:v>
      </x:c>
      <x:c r="G1" s="11" t="str">
        <x:v>Visibility</x:v>
      </x:c>
    </x:row>
    <x:row r="2">
      <x:c r="A2" s="35" t="str">
        <x:v>demo</x:v>
      </x:c>
      <x:c r="B2" s="36" t="str">
        <x:v>PT-001</x:v>
      </x:c>
      <x:c r="C2" s="36" t="str">
        <x:v>MEDOPT-001</x:v>
      </x:c>
      <x:c r="D2" s="36" t="str">
        <x:v>Botulismi antitoksiin</x:v>
      </x:c>
      <x:c r="E2" s="36" t="str">
        <x:v>1 viaal</x:v>
      </x:c>
      <x:c r="F2" s="36" t="str">
        <x:v>IV</x:v>
      </x:c>
      <x:c r="G2" s="37" t="str">
        <x:v>available</x:v>
      </x:c>
    </x:row>
    <x:row r="3">
      <x:c r="A3" s="38" t="str">
        <x:v>demo</x:v>
      </x:c>
      <x:c r="B3" s="39" t="str">
        <x:v>PT-001</x:v>
      </x:c>
      <x:c r="C3" s="39" t="str">
        <x:v>MEDOPT-002</x:v>
      </x:c>
      <x:c r="D3" s="39" t="str">
        <x:v>NaCl 0,9%</x:v>
      </x:c>
      <x:c r="E3" s="39" t="str">
        <x:v>500 ml</x:v>
      </x:c>
      <x:c r="F3" s="39" t="str">
        <x:v>IV</x:v>
      </x:c>
      <x:c r="G3" s="40" t="str">
        <x:v>available</x:v>
      </x:c>
    </x:row>
  </x:sheetData>
  <x:dataValidations count="1">
    <x:dataValidation type="list" sqref="G2:G200">
      <x:formula1>"hidden,available,revealed"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a8ee6bbd2b47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0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42" customHeight="1">
      <x:c r="A1" s="9" t="str">
        <x:v>ExerciseId</x:v>
      </x:c>
      <x:c r="B1" s="10" t="str">
        <x:v>PatientId</x:v>
      </x:c>
      <x:c r="C1" s="10" t="str">
        <x:v>AdministrationId</x:v>
      </x:c>
      <x:c r="D1" s="10" t="str">
        <x:v>MedicationOptionId</x:v>
      </x:c>
      <x:c r="E1" s="10" t="str">
        <x:v>Name</x:v>
      </x:c>
      <x:c r="F1" s="10" t="str">
        <x:v>Dose</x:v>
      </x:c>
      <x:c r="G1" s="10" t="str">
        <x:v>Route</x:v>
      </x:c>
      <x:c r="H1" s="10" t="str">
        <x:v>AdministeredBy</x:v>
      </x:c>
      <x:c r="I1" s="11" t="str">
        <x:v>AdministeredAt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5" hidden="0" customWidth="1"/>
    <x:col min="5" max="5" width="12" hidden="0" customWidth="1"/>
    <x:col min="6" max="6" width="34" hidden="0" customWidth="1"/>
    <x:col min="7" max="7" width="34" hidden="0" customWidth="1"/>
    <x:col min="8" max="8" width="15" hidden="0" customWidth="1"/>
  </x:cols>
  <x:sheetData>
    <x:row r="1" ht="42" customHeight="1">
      <x:c r="A1" s="9" t="str">
        <x:v>ExerciseId</x:v>
      </x:c>
      <x:c r="B1" s="10" t="str">
        <x:v>PatientId</x:v>
      </x:c>
      <x:c r="C1" s="10" t="str">
        <x:v>QuestionId</x:v>
      </x:c>
      <x:c r="D1" s="10" t="str">
        <x:v>Category</x:v>
      </x:c>
      <x:c r="E1" s="10" t="str">
        <x:v>Order</x:v>
      </x:c>
      <x:c r="F1" s="10" t="str">
        <x:v>Prompt</x:v>
      </x:c>
      <x:c r="G1" s="10" t="str">
        <x:v>Answer</x:v>
      </x:c>
      <x:c r="H1" s="11" t="str">
        <x:v>Visibility</x:v>
      </x:c>
    </x:row>
    <x:row r="2" ht="48" customHeight="1">
      <x:c r="A2" s="35" t="str">
        <x:v>demo</x:v>
      </x:c>
      <x:c r="B2" s="36" t="str">
        <x:v>PT-001</x:v>
      </x:c>
      <x:c r="C2" s="36" t="str">
        <x:v>Q-001</x:v>
      </x:c>
      <x:c r="D2" s="36" t="str">
        <x:v>Toitumine</x:v>
      </x:c>
      <x:c r="E2" s="36" t="n">
        <x:v>1</x:v>
      </x:c>
      <x:c r="F2" s="36" t="str">
        <x:v>Kas patsient sõi eile midagi?</x:v>
      </x:c>
      <x:c r="G2" s="36" t="str">
        <x:v>Jah, sõi eile õhtul väljas.</x:v>
      </x:c>
      <x:c r="H2" s="37" t="str">
        <x:v>hidden</x:v>
      </x:c>
    </x:row>
    <x:row r="3" ht="48" customHeight="1">
      <x:c r="A3" s="47" t="str">
        <x:v>demo</x:v>
      </x:c>
      <x:c r="B3" s="48" t="str">
        <x:v>PT-001</x:v>
      </x:c>
      <x:c r="C3" s="48" t="str">
        <x:v>Q-002</x:v>
      </x:c>
      <x:c r="D3" s="48" t="str">
        <x:v>Toitumine</x:v>
      </x:c>
      <x:c r="E3" s="48" t="n">
        <x:v>2</x:v>
      </x:c>
      <x:c r="F3" s="48" t="str">
        <x:v>Kus patsient sõi?</x:v>
      </x:c>
      <x:c r="G3" s="48" t="str">
        <x:v>Restoranis. Täpsemal küsimisel: Jõhvis.</x:v>
      </x:c>
      <x:c r="H3" s="49" t="str">
        <x:v>hidden</x:v>
      </x:c>
    </x:row>
    <x:row r="4" ht="48" customHeight="1">
      <x:c r="A4" s="38" t="str">
        <x:v>demo</x:v>
      </x:c>
      <x:c r="B4" s="39" t="str">
        <x:v>PT-001</x:v>
      </x:c>
      <x:c r="C4" s="39" t="str">
        <x:v>Q-003</x:v>
      </x:c>
      <x:c r="D4" s="39" t="str">
        <x:v>Neuro</x:v>
      </x:c>
      <x:c r="E4" s="39" t="n">
        <x:v>3</x:v>
      </x:c>
      <x:c r="F4" s="39" t="str">
        <x:v>Kas on kahelinägemist?</x:v>
      </x:c>
      <x:c r="G4" s="39" t="str">
        <x:v>Jah, patsient kirjeldab kahelinägemist.</x:v>
      </x:c>
      <x:c r="H4" s="40" t="str">
        <x:v>hidden</x:v>
      </x:c>
    </x:row>
  </x:sheetData>
  <x:dataValidations count="1">
    <x:dataValidation type="list" sqref="H2:H200">
      <x:formula1>"hidden,available,revealed"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2188d26ce141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42" customHeight="1">
      <x:c r="A1" s="9" t="str">
        <x:v>ExerciseId</x:v>
      </x:c>
      <x:c r="B1" s="10" t="str">
        <x:v>PatientId</x:v>
      </x:c>
      <x:c r="C1" s="10" t="str">
        <x:v>LabId</x:v>
      </x:c>
      <x:c r="D1" s="10" t="str">
        <x:v>Panel</x:v>
      </x:c>
      <x:c r="E1" s="10" t="str">
        <x:v>Name</x:v>
      </x:c>
      <x:c r="F1" s="10" t="str">
        <x:v>Value</x:v>
      </x:c>
      <x:c r="G1" s="10" t="str">
        <x:v>Unit</x:v>
      </x:c>
      <x:c r="H1" s="10" t="str">
        <x:v>ReferenceRange</x:v>
      </x:c>
      <x:c r="I1" s="10" t="str">
        <x:v>Status</x:v>
      </x:c>
      <x:c r="J1" s="10" t="str">
        <x:v>Visibility</x:v>
      </x:c>
      <x:c r="K1" s="11" t="str">
        <x:v>ReleasedAt</x:v>
      </x:c>
    </x:row>
    <x:row r="2">
      <x:c r="A2" s="35" t="str">
        <x:v>demo</x:v>
      </x:c>
      <x:c r="B2" s="36" t="str">
        <x:v>PT-001</x:v>
      </x:c>
      <x:c r="C2" s="36" t="str">
        <x:v>LAB-001</x:v>
      </x:c>
      <x:c r="D2" s="36" t="str">
        <x:v>ABG</x:v>
      </x:c>
      <x:c r="E2" s="36" t="str">
        <x:v>pH</x:v>
      </x:c>
      <x:c r="F2" s="36" t="str">
        <x:v>7.36</x:v>
      </x:c>
      <x:c r="G2" s="36" t="str"/>
      <x:c r="H2" s="36" t="str">
        <x:v>7.35–7.45</x:v>
      </x:c>
      <x:c r="I2" s="36" t="str">
        <x:v>processing</x:v>
      </x:c>
      <x:c r="J2" s="36" t="str">
        <x:v>hidden</x:v>
      </x:c>
      <x:c r="K2" s="37" t="str">
        <x:v>09:35</x:v>
      </x:c>
    </x:row>
    <x:row r="3">
      <x:c r="A3" s="47" t="str">
        <x:v>demo</x:v>
      </x:c>
      <x:c r="B3" s="48" t="str">
        <x:v>PT-001</x:v>
      </x:c>
      <x:c r="C3" s="48" t="str">
        <x:v>LAB-002</x:v>
      </x:c>
      <x:c r="D3" s="48" t="str">
        <x:v>ABG</x:v>
      </x:c>
      <x:c r="E3" s="48" t="str">
        <x:v>pCO₂</x:v>
      </x:c>
      <x:c r="F3" s="48" t="str">
        <x:v>47</x:v>
      </x:c>
      <x:c r="G3" s="48" t="str">
        <x:v>mmHg</x:v>
      </x:c>
      <x:c r="H3" s="48" t="str">
        <x:v>35–45</x:v>
      </x:c>
      <x:c r="I3" s="48" t="str">
        <x:v>processing</x:v>
      </x:c>
      <x:c r="J3" s="48" t="str">
        <x:v>hidden</x:v>
      </x:c>
      <x:c r="K3" s="49" t="str">
        <x:v>09:35</x:v>
      </x:c>
    </x:row>
    <x:row r="4">
      <x:c r="A4" s="38" t="str">
        <x:v>demo</x:v>
      </x:c>
      <x:c r="B4" s="39" t="str">
        <x:v>PT-001</x:v>
      </x:c>
      <x:c r="C4" s="39" t="str">
        <x:v>LAB-003</x:v>
      </x:c>
      <x:c r="D4" s="39" t="str">
        <x:v>CBC</x:v>
      </x:c>
      <x:c r="E4" s="39" t="str">
        <x:v>WBC</x:v>
      </x:c>
      <x:c r="F4" s="39" t="str">
        <x:v>16.2</x:v>
      </x:c>
      <x:c r="G4" s="39" t="str">
        <x:v>x10⁹/L</x:v>
      </x:c>
      <x:c r="H4" s="39" t="str">
        <x:v>4.0–10.0</x:v>
      </x:c>
      <x:c r="I4" s="39" t="str">
        <x:v>processing</x:v>
      </x:c>
      <x:c r="J4" s="39" t="str">
        <x:v>hidden</x:v>
      </x:c>
      <x:c r="K4" s="40" t="str"/>
    </x:row>
  </x:sheetData>
  <x:dataValidations count="2">
    <x:dataValidation type="list" sqref="I2:I200">
      <x:formula1>"processing,available,viewed"</x:formula1>
    </x:dataValidation>
    <x:dataValidation type="list" sqref="J2:J200">
      <x:formula1>"hidden,available,revealed"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0115d3325a40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34" hidden="0" customWidth="1"/>
    <x:col min="7" max="7" width="15" hidden="0" customWidth="1"/>
    <x:col min="8" max="8" width="15" hidden="0" customWidth="1"/>
    <x:col min="9" max="9" width="20" hidden="0" customWidth="1"/>
    <x:col min="10" max="10" width="20" hidden="0" customWidth="1"/>
  </x:cols>
  <x:sheetData>
    <x:row r="1" ht="42" customHeight="1">
      <x:c r="A1" s="9" t="str">
        <x:v>ExerciseId</x:v>
      </x:c>
      <x:c r="B1" s="10" t="str">
        <x:v>PatientId</x:v>
      </x:c>
      <x:c r="C1" s="10" t="str">
        <x:v>ImagingId</x:v>
      </x:c>
      <x:c r="D1" s="10" t="str">
        <x:v>Modality</x:v>
      </x:c>
      <x:c r="E1" s="10" t="str">
        <x:v>Title</x:v>
      </x:c>
      <x:c r="F1" s="10" t="str">
        <x:v>Report</x:v>
      </x:c>
      <x:c r="G1" s="10" t="str">
        <x:v>Attachment</x:v>
      </x:c>
      <x:c r="H1" s="10" t="str">
        <x:v>Status</x:v>
      </x:c>
      <x:c r="I1" s="10" t="str">
        <x:v>ImageVisibility</x:v>
      </x:c>
      <x:c r="J1" s="11" t="str">
        <x:v>ReportVisibility</x:v>
      </x:c>
    </x:row>
    <x:row r="2" ht="48" customHeight="1">
      <x:c r="A2" s="35" t="str">
        <x:v>demo</x:v>
      </x:c>
      <x:c r="B2" s="36" t="str">
        <x:v>PT-001</x:v>
      </x:c>
      <x:c r="C2" s="36" t="str">
        <x:v>IMG-001</x:v>
      </x:c>
      <x:c r="D2" s="36" t="str">
        <x:v>CT</x:v>
      </x:c>
      <x:c r="E2" s="36" t="str">
        <x:v>KT pea</x:v>
      </x:c>
      <x:c r="F2" s="36" t="str">
        <x:v>Ägeda intrakraniaalse verejooksu tunnuseid ei ole. Massiefekti ei ole. Basaaltsisternid on vabad.</x:v>
      </x:c>
      <x:c r="G2" s="36" t="str">
        <x:v>image01.jpg</x:v>
      </x:c>
      <x:c r="H2" s="36" t="str">
        <x:v>processing</x:v>
      </x:c>
      <x:c r="I2" s="36" t="str">
        <x:v>hidden</x:v>
      </x:c>
      <x:c r="J2" s="37" t="str">
        <x:v>hidden</x:v>
      </x:c>
    </x:row>
    <x:row r="3" ht="48" customHeight="1">
      <x:c r="A3" s="38" t="str">
        <x:v>demo</x:v>
      </x:c>
      <x:c r="B3" s="39" t="str">
        <x:v>PT-001</x:v>
      </x:c>
      <x:c r="C3" s="39" t="str">
        <x:v>IMG-002</x:v>
      </x:c>
      <x:c r="D3" s="39" t="str">
        <x:v>XR</x:v>
      </x:c>
      <x:c r="E3" s="39" t="str">
        <x:v>Rindkere röntgen</x:v>
      </x:c>
      <x:c r="F3" s="39" t="str">
        <x:v>Fokaalseid infiltraate ei ole. Kardiomediastinaalne vari normipärane.</x:v>
      </x:c>
      <x:c r="G3" s="39" t="str"/>
      <x:c r="H3" s="39" t="str">
        <x:v>processing</x:v>
      </x:c>
      <x:c r="I3" s="39" t="str">
        <x:v>hidden</x:v>
      </x:c>
      <x:c r="J3" s="40" t="str">
        <x:v>hidden</x:v>
      </x:c>
    </x:row>
  </x:sheetData>
  <x:dataValidations count="4">
    <x:dataValidation type="list" sqref="D2:D200">
      <x:formula1>"XR,CT,US,ECG,OTHER"</x:formula1>
    </x:dataValidation>
    <x:dataValidation type="list" sqref="H2:H200">
      <x:formula1>"processing,available,viewed"</x:formula1>
    </x:dataValidation>
    <x:dataValidation type="list" sqref="I2:I200">
      <x:formula1>"hidden,available,revealed"</x:formula1>
    </x:dataValidation>
    <x:dataValidation type="list" sqref="J2:J200">
      <x:formula1>"hidden,available,revealed"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14b04f22fb4b8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5" hidden="0" customWidth="1"/>
    <x:col min="5" max="5" width="34" hidden="0" customWidth="1"/>
    <x:col min="6" max="6" width="15" hidden="0" customWidth="1"/>
  </x:cols>
  <x:sheetData>
    <x:row r="1" ht="42" customHeight="1">
      <x:c r="A1" s="9" t="str">
        <x:v>ExerciseId</x:v>
      </x:c>
      <x:c r="B1" s="10" t="str">
        <x:v>PatientId</x:v>
      </x:c>
      <x:c r="C1" s="10" t="str">
        <x:v>NoteId</x:v>
      </x:c>
      <x:c r="D1" s="10" t="str">
        <x:v>Author</x:v>
      </x:c>
      <x:c r="E1" s="10" t="str">
        <x:v>Text</x:v>
      </x:c>
      <x:c r="F1" s="11" t="str">
        <x:v>CreatedAt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2" hidden="0" customWidth="1"/>
    <x:col min="10" max="10" width="22" hidden="0" customWidth="1"/>
    <x:col min="11" max="11" width="34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42" customHeight="1">
      <x:c r="A1" s="9" t="str">
        <x:v>ExerciseId</x:v>
      </x:c>
      <x:c r="B1" s="10" t="str">
        <x:v>PatientId</x:v>
      </x:c>
      <x:c r="C1" s="10" t="str">
        <x:v>OrderId</x:v>
      </x:c>
      <x:c r="D1" s="10" t="str">
        <x:v>Type</x:v>
      </x:c>
      <x:c r="E1" s="10" t="str">
        <x:v>Name</x:v>
      </x:c>
      <x:c r="F1" s="10" t="str">
        <x:v>Status</x:v>
      </x:c>
      <x:c r="G1" s="10" t="str">
        <x:v>ResultAction</x:v>
      </x:c>
      <x:c r="H1" s="10" t="str">
        <x:v>ResultTargetId</x:v>
      </x:c>
      <x:c r="I1" s="10" t="str">
        <x:v>DelayMinutes</x:v>
      </x:c>
      <x:c r="J1" s="10" t="str">
        <x:v>ResultTitle</x:v>
      </x:c>
      <x:c r="K1" s="10" t="str">
        <x:v>ResultDescription</x:v>
      </x:c>
      <x:c r="L1" s="10" t="str">
        <x:v>RequestedBy</x:v>
      </x:c>
      <x:c r="M1" s="10" t="str">
        <x:v>CreatedAt</x:v>
      </x:c>
      <x:c r="N1" s="11" t="str">
        <x:v>CompletedAt</x:v>
      </x:c>
    </x:row>
    <x:row r="2" ht="48" customHeight="1">
      <x:c r="A2" s="35" t="str">
        <x:v>demo</x:v>
      </x:c>
      <x:c r="B2" s="36" t="str">
        <x:v>PT-001</x:v>
      </x:c>
      <x:c r="C2" s="36" t="str">
        <x:v>ORD-001</x:v>
      </x:c>
      <x:c r="D2" s="36" t="str">
        <x:v>lab</x:v>
      </x:c>
      <x:c r="E2" s="36" t="str">
        <x:v>Veregaasid</x:v>
      </x:c>
      <x:c r="F2" s="36" t="str">
        <x:v>available</x:v>
      </x:c>
      <x:c r="G2" s="36" t="str">
        <x:v>lab.available</x:v>
      </x:c>
      <x:c r="H2" s="36" t="str">
        <x:v>ABG</x:v>
      </x:c>
      <x:c r="I2" s="36" t="n">
        <x:v>2</x:v>
      </x:c>
      <x:c r="J2" s="36" t="str">
        <x:v>Veregaasid valmis</x:v>
      </x:c>
      <x:c r="K2" s="36" t="str">
        <x:v>Veregaaside tulemused on nüüd kättesaadavad.</x:v>
      </x:c>
      <x:c r="L2" s="36" t="str"/>
      <x:c r="M2" s="36" t="str"/>
      <x:c r="N2" s="37" t="str"/>
    </x:row>
    <x:row r="3" ht="48" customHeight="1">
      <x:c r="A3" s="47" t="str">
        <x:v>demo</x:v>
      </x:c>
      <x:c r="B3" s="48" t="str">
        <x:v>PT-001</x:v>
      </x:c>
      <x:c r="C3" s="48" t="str">
        <x:v>ORD-002</x:v>
      </x:c>
      <x:c r="D3" s="48" t="str">
        <x:v>lab</x:v>
      </x:c>
      <x:c r="E3" s="48" t="str">
        <x:v>Täisvere analüüs</x:v>
      </x:c>
      <x:c r="F3" s="48" t="str">
        <x:v>available</x:v>
      </x:c>
      <x:c r="G3" s="48" t="str">
        <x:v>lab.available</x:v>
      </x:c>
      <x:c r="H3" s="48" t="str">
        <x:v>CBC</x:v>
      </x:c>
      <x:c r="I3" s="48" t="n">
        <x:v>5</x:v>
      </x:c>
      <x:c r="J3" s="48" t="str">
        <x:v>Täisvere analüüs valmis</x:v>
      </x:c>
      <x:c r="K3" s="48" t="str">
        <x:v>Täisvere analüüsi tulemused on nüüd kättesaadavad.</x:v>
      </x:c>
      <x:c r="L3" s="48" t="str"/>
      <x:c r="M3" s="48" t="str"/>
      <x:c r="N3" s="49" t="str"/>
    </x:row>
    <x:row r="4" ht="48" customHeight="1">
      <x:c r="A4" s="47" t="str">
        <x:v>demo</x:v>
      </x:c>
      <x:c r="B4" s="48" t="str">
        <x:v>PT-001</x:v>
      </x:c>
      <x:c r="C4" s="48" t="str">
        <x:v>ORD-003</x:v>
      </x:c>
      <x:c r="D4" s="48" t="str">
        <x:v>imaging</x:v>
      </x:c>
      <x:c r="E4" s="48" t="str">
        <x:v>KT pea</x:v>
      </x:c>
      <x:c r="F4" s="48" t="str">
        <x:v>available</x:v>
      </x:c>
      <x:c r="G4" s="48" t="str">
        <x:v>imaging.available</x:v>
      </x:c>
      <x:c r="H4" s="48" t="str">
        <x:v>IMG-001</x:v>
      </x:c>
      <x:c r="I4" s="48" t="n">
        <x:v>3</x:v>
      </x:c>
      <x:c r="J4" s="48" t="str">
        <x:v>KT pea valmis</x:v>
      </x:c>
      <x:c r="K4" s="48" t="str">
        <x:v>KT pea uuring on nüüd kättesaadav.</x:v>
      </x:c>
      <x:c r="L4" s="48" t="str"/>
      <x:c r="M4" s="48" t="str"/>
      <x:c r="N4" s="49" t="str"/>
    </x:row>
    <x:row r="5" ht="48" customHeight="1">
      <x:c r="A5" s="38" t="str">
        <x:v>demo</x:v>
      </x:c>
      <x:c r="B5" s="39" t="str">
        <x:v>PT-001</x:v>
      </x:c>
      <x:c r="C5" s="39" t="str">
        <x:v>ORD-004</x:v>
      </x:c>
      <x:c r="D5" s="39" t="str">
        <x:v>imaging</x:v>
      </x:c>
      <x:c r="E5" s="39" t="str">
        <x:v>Rindkere röntgen</x:v>
      </x:c>
      <x:c r="F5" s="39" t="str">
        <x:v>available</x:v>
      </x:c>
      <x:c r="G5" s="39" t="str">
        <x:v>imaging.available</x:v>
      </x:c>
      <x:c r="H5" s="39" t="str">
        <x:v>IMG-002</x:v>
      </x:c>
      <x:c r="I5" s="39" t="n">
        <x:v>4</x:v>
      </x:c>
      <x:c r="J5" s="39" t="str">
        <x:v>Rindkere röntgen valmis</x:v>
      </x:c>
      <x:c r="K5" s="39" t="str">
        <x:v>Rindkere röntgenuuring on nüüd kättesaadav.</x:v>
      </x:c>
      <x:c r="L5" s="39" t="str"/>
      <x:c r="M5" s="39" t="str"/>
      <x:c r="N5" s="40" t="str"/>
    </x:row>
  </x:sheetData>
  <x:dataValidations count="3">
    <x:dataValidation type="list" sqref="D2:D200">
      <x:formula1>"lab,imaging,medication,consultation,blood"</x:formula1>
    </x:dataValidation>
    <x:dataValidation type="list" sqref="F2:F200">
      <x:formula1>"available,ordered,processing,completed"</x:formula1>
    </x:dataValidation>
    <x:dataValidation type="list" sqref="G2:G200">
      <x:formula1>"lab.available,imaging.available"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42fdc6c0af4bc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4" hidden="0" customWidth="1"/>
    <x:col min="10" max="10" width="14" hidden="0" customWidth="1"/>
    <x:col min="11" max="11" width="17" hidden="0" customWidth="1"/>
    <x:col min="12" max="12" width="10" hidden="0" customWidth="1"/>
    <x:col min="13" max="13" width="14" hidden="0" customWidth="1"/>
    <x:col min="14" max="14" width="9" hidden="0" customWidth="1"/>
    <x:col min="15" max="15" width="16" hidden="0" customWidth="1"/>
    <x:col min="16" max="16" width="11" hidden="0" customWidth="1"/>
    <x:col min="17" max="17" width="12" hidden="0" customWidth="1"/>
  </x:cols>
  <x:sheetData>
    <x:row r="1" ht="24" customHeight="1">
      <x:c r="A1" s="113" t="str">
        <x:v>ExerciseId</x:v>
      </x:c>
      <x:c r="B1" s="114" t="str">
        <x:v>PatientId</x:v>
      </x:c>
      <x:c r="C1" s="114" t="str">
        <x:v>VitalId</x:v>
      </x:c>
      <x:c r="D1" s="114" t="str">
        <x:v>ExerciseMinute</x:v>
      </x:c>
      <x:c r="E1" s="114" t="str">
        <x:v>RecordedAt</x:v>
      </x:c>
      <x:c r="F1" s="114" t="str">
        <x:v>RecordedBy</x:v>
      </x:c>
      <x:c r="G1" s="114" t="str">
        <x:v>Source</x:v>
      </x:c>
      <x:c r="H1" s="114" t="str">
        <x:v>HeartRate</x:v>
      </x:c>
      <x:c r="I1" s="114" t="str">
        <x:v>SystolicBP</x:v>
      </x:c>
      <x:c r="J1" s="114" t="str">
        <x:v>DiastolicBP</x:v>
      </x:c>
      <x:c r="K1" s="114" t="str">
        <x:v>RespiratoryRate</x:v>
      </x:c>
      <x:c r="L1" s="114" t="str">
        <x:v>SpO2</x:v>
      </x:c>
      <x:c r="M1" s="114" t="str">
        <x:v>Temperature</x:v>
      </x:c>
      <x:c r="N1" s="114" t="str">
        <x:v>GCS</x:v>
      </x:c>
      <x:c r="O1" s="114" t="str">
        <x:v>BloodGlucose</x:v>
      </x:c>
      <x:c r="P1" s="114" t="str">
        <x:v>EtCO2</x:v>
      </x:c>
      <x:c r="Q1" s="115" t="str">
        <x:v>PainScore</x:v>
      </x:c>
    </x:row>
    <x:row r="2" ht="24" customHeight="1">
      <x:c r="A2" s="118" t="str">
        <x:v>demo</x:v>
      </x:c>
      <x:c r="B2" s="118" t="str">
        <x:v>PT-001</x:v>
      </x:c>
      <x:c r="C2" s="118" t="str">
        <x:v>VITAL-001</x:v>
      </x:c>
      <x:c r="D2" s="119" t="n">
        <x:v>0</x:v>
      </x:c>
      <x:c r="E2" s="118" t="str">
        <x:v>09:22</x:v>
      </x:c>
      <x:c r="F2" s="118" t="str">
        <x:v>EXCON</x:v>
      </x:c>
      <x:c r="G2" s="118" t="str">
        <x:v>scenario</x:v>
      </x:c>
      <x:c r="H2" s="119" t="n">
        <x:v>92</x:v>
      </x:c>
      <x:c r="I2" s="119" t="n">
        <x:v>138</x:v>
      </x:c>
      <x:c r="J2" s="119" t="n">
        <x:v>82</x:v>
      </x:c>
      <x:c r="K2" s="119" t="n">
        <x:v>18</x:v>
      </x:c>
      <x:c r="L2" s="119" t="n">
        <x:v>97</x:v>
      </x:c>
      <x:c r="M2" s="120" t="n">
        <x:v>36.8</x:v>
      </x:c>
      <x:c r="N2" s="119" t="n">
        <x:v>15</x:v>
      </x:c>
      <x:c r="O2" s="120" t="n">
        <x:v>6.1</x:v>
      </x:c>
      <x:c r="P2" s="120"/>
      <x:c r="Q2" s="119" t="n">
        <x:v>1</x:v>
      </x:c>
    </x:row>
    <x:row r="3" ht="24" customHeight="1">
      <x:c r="A3" s="118" t="str">
        <x:v>demo</x:v>
      </x:c>
      <x:c r="B3" s="118" t="str">
        <x:v>PT-001</x:v>
      </x:c>
      <x:c r="C3" s="118" t="str">
        <x:v>VITAL-002</x:v>
      </x:c>
      <x:c r="D3" s="119" t="n">
        <x:v>10</x:v>
      </x:c>
      <x:c r="E3" s="118" t="str">
        <x:v>09:32</x:v>
      </x:c>
      <x:c r="F3" s="118" t="str">
        <x:v>EXCON</x:v>
      </x:c>
      <x:c r="G3" s="118" t="str">
        <x:v>scenario</x:v>
      </x:c>
      <x:c r="H3" s="119" t="n">
        <x:v>104</x:v>
      </x:c>
      <x:c r="I3" s="119" t="n">
        <x:v>132</x:v>
      </x:c>
      <x:c r="J3" s="119" t="n">
        <x:v>78</x:v>
      </x:c>
      <x:c r="K3" s="119" t="n">
        <x:v>24</x:v>
      </x:c>
      <x:c r="L3" s="119" t="n">
        <x:v>93</x:v>
      </x:c>
      <x:c r="M3" s="120" t="n">
        <x:v>36.9</x:v>
      </x:c>
      <x:c r="N3" s="119" t="n">
        <x:v>14</x:v>
      </x:c>
      <x:c r="O3" s="120" t="n">
        <x:v>6</x:v>
      </x:c>
      <x:c r="P3" s="120"/>
      <x:c r="Q3" s="119" t="n">
        <x:v>2</x:v>
      </x:c>
    </x:row>
  </x:sheetData>
  <x:conditionalFormatting sqref="H2:H200">
    <x:cfRule type="cellIs" dxfId="1" priority="1" operator="greaterThan">
      <x:formula>100</x:formula>
    </x:cfRule>
  </x:conditionalFormatting>
  <x:conditionalFormatting sqref="K2:K200">
    <x:cfRule type="cellIs" dxfId="2" priority="2" operator="greaterThan">
      <x:formula>20</x:formula>
    </x:cfRule>
  </x:conditionalFormatting>
  <x:conditionalFormatting sqref="L2:L200">
    <x:cfRule type="cellIs" dxfId="3" priority="3" operator="lessThan">
      <x:formula>94</x:formula>
    </x:cfRule>
  </x:conditionalFormatting>
  <x:conditionalFormatting sqref="N2:N200">
    <x:cfRule type="cellIs" dxfId="4" priority="4" operator="lessThan">
      <x:formula>15</x:formula>
    </x:cfRule>
  </x:conditionalFormatting>
  <x:dataValidations count="1">
    <x:dataValidation type="list" sqref="G2:G200">
      <x:formula1>"scenario,manual"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e0e58a232d40c4"/>
  </x:tableParts>
</x:worksheet>
</file>